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D7BA81C911675E0/Desktop/bi.study/MOS/"/>
    </mc:Choice>
  </mc:AlternateContent>
  <xr:revisionPtr revIDLastSave="0" documentId="8_{00B3BC99-AE44-4F70-9579-F71EC0F17090}" xr6:coauthVersionLast="47" xr6:coauthVersionMax="47" xr10:uidLastSave="{00000000-0000-0000-0000-000000000000}"/>
  <bookViews>
    <workbookView xWindow="-108" yWindow="336" windowWidth="23256" windowHeight="12732" activeTab="1" xr2:uid="{00000000-000D-0000-FFFF-FFFF00000000}"/>
  </bookViews>
  <sheets>
    <sheet name="On Kien Thuc Cu" sheetId="1" r:id="rId1"/>
    <sheet name="Kien Thuc Mo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" l="1"/>
  <c r="G4" i="2"/>
  <c r="F2" i="2" a="1"/>
  <c r="F2" i="2" s="1"/>
  <c r="E3" i="2"/>
  <c r="E4" i="2"/>
  <c r="E5" i="2"/>
  <c r="E6" i="2"/>
  <c r="E2" i="2"/>
  <c r="G2" i="2"/>
  <c r="G6" i="1" a="1"/>
  <c r="G6" i="1" s="1"/>
  <c r="E3" i="1"/>
  <c r="E4" i="1"/>
  <c r="E5" i="1"/>
  <c r="E6" i="1"/>
  <c r="E2" i="1"/>
  <c r="G5" i="1"/>
  <c r="G4" i="1"/>
  <c r="G3" i="1"/>
  <c r="G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<sst xmlns="http://schemas.openxmlformats.org/spreadsheetml/2006/main" count="34" uniqueCount="34">
  <si>
    <t>Month</t>
  </si>
  <si>
    <t>Product</t>
  </si>
  <si>
    <t>Units Sold</t>
  </si>
  <si>
    <t>Price</t>
  </si>
  <si>
    <t>Total Sales</t>
  </si>
  <si>
    <t>Notes</t>
  </si>
  <si>
    <t>Bài Tập Ôn</t>
  </si>
  <si>
    <t>Jan</t>
  </si>
  <si>
    <t>Apple</t>
  </si>
  <si>
    <t>Good</t>
  </si>
  <si>
    <t>Feb</t>
  </si>
  <si>
    <t>Banana</t>
  </si>
  <si>
    <t>OK</t>
  </si>
  <si>
    <t>Mar</t>
  </si>
  <si>
    <t>Orange</t>
  </si>
  <si>
    <t>Low</t>
  </si>
  <si>
    <t>Apr</t>
  </si>
  <si>
    <t>Grape</t>
  </si>
  <si>
    <t>High</t>
  </si>
  <si>
    <t>May</t>
  </si>
  <si>
    <t>Mango</t>
  </si>
  <si>
    <t>Best</t>
  </si>
  <si>
    <t>Student</t>
  </si>
  <si>
    <t>Math</t>
  </si>
  <si>
    <t>English</t>
  </si>
  <si>
    <t>Science</t>
  </si>
  <si>
    <t>Average</t>
  </si>
  <si>
    <t>Grade</t>
  </si>
  <si>
    <t>Bài Tập Mới</t>
  </si>
  <si>
    <t>Alice</t>
  </si>
  <si>
    <t>Bob</t>
  </si>
  <si>
    <t>Charlie</t>
  </si>
  <si>
    <t>David</t>
  </si>
  <si>
    <t>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</si>
</sst>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workbookViewId="0">
      <selection activeCell="G6" sqref="G6"/>
    </sheetView>
  </sheetViews>
  <sheetFormatPr defaultRowHeight="13.8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10</v>
      </c>
      <c r="D2">
        <v>5</v>
      </c>
      <c r="E2">
        <f>(C2*D2)</f>
        <v>50</v>
      </c>
      <c r="F2" t="s">
        <v>9</v>
      </c>
      <c r="G2">
        <f>VLOOKUP("Orange",B2:D6,3)</f>
        <v>4</v>
      </c>
    </row>
    <row r="3" spans="1:7" x14ac:dyDescent="0.25">
      <c r="A3" t="s">
        <v>10</v>
      </c>
      <c r="B3" t="s">
        <v>11</v>
      </c>
      <c r="C3">
        <v>15</v>
      </c>
      <c r="D3">
        <v>3</v>
      </c>
      <c r="E3">
        <f t="shared" ref="E3:E6" si="0">(C3*D3)</f>
        <v>45</v>
      </c>
      <c r="F3" t="s">
        <v>12</v>
      </c>
      <c r="G3">
        <f>SUM(C2:C6)</f>
        <v>65</v>
      </c>
    </row>
    <row r="4" spans="1:7" x14ac:dyDescent="0.25">
      <c r="A4" t="s">
        <v>13</v>
      </c>
      <c r="B4" t="s">
        <v>14</v>
      </c>
      <c r="C4">
        <v>8</v>
      </c>
      <c r="D4">
        <v>4</v>
      </c>
      <c r="E4">
        <f t="shared" si="0"/>
        <v>32</v>
      </c>
      <c r="F4" t="s">
        <v>15</v>
      </c>
      <c r="G4">
        <f>AVERAGE(D2:D6)</f>
        <v>5</v>
      </c>
    </row>
    <row r="5" spans="1:7" x14ac:dyDescent="0.25">
      <c r="A5" t="s">
        <v>16</v>
      </c>
      <c r="B5" t="s">
        <v>17</v>
      </c>
      <c r="C5">
        <v>12</v>
      </c>
      <c r="D5">
        <v>6</v>
      </c>
      <c r="E5">
        <f t="shared" si="0"/>
        <v>72</v>
      </c>
      <c r="F5" t="s">
        <v>18</v>
      </c>
      <c r="G5">
        <f>COUNTIF(F2:F6,F2)+COUNTIF(F2:F6,F5)</f>
        <v>2</v>
      </c>
    </row>
    <row r="6" spans="1:7" x14ac:dyDescent="0.25">
      <c r="A6" t="s">
        <v>19</v>
      </c>
      <c r="B6" t="s">
        <v>20</v>
      </c>
      <c r="C6">
        <v>20</v>
      </c>
      <c r="D6">
        <v>7</v>
      </c>
      <c r="E6">
        <f t="shared" si="0"/>
        <v>140</v>
      </c>
      <c r="F6" t="s">
        <v>21</v>
      </c>
      <c r="G6" t="str" cm="1">
        <f t="array" ref="G6:G10">IF(E2:E6&gt;50,"HIGH SALES","LOW SALES")</f>
        <v>LOW SALES</v>
      </c>
    </row>
    <row r="7" spans="1:7" x14ac:dyDescent="0.25">
      <c r="G7" t="str">
        <v>LOW SALES</v>
      </c>
    </row>
    <row r="8" spans="1:7" x14ac:dyDescent="0.25">
      <c r="G8" t="str">
        <v>LOW SALES</v>
      </c>
    </row>
    <row r="9" spans="1:7" x14ac:dyDescent="0.25">
      <c r="G9" t="str">
        <v>HIGH SALES</v>
      </c>
    </row>
    <row r="10" spans="1:7" x14ac:dyDescent="0.25">
      <c r="G10" t="str">
        <v>HIGH SALES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tabSelected="1" workbookViewId="0">
      <selection activeCell="G3" sqref="G3"/>
    </sheetView>
  </sheetViews>
  <sheetFormatPr defaultRowHeight="13.8" x14ac:dyDescent="0.25"/>
  <sheetData>
    <row r="1" spans="1:7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</row>
    <row r="2" spans="1:7" x14ac:dyDescent="0.25">
      <c r="A2" t="s">
        <v>29</v>
      </c>
      <c r="B2">
        <v>80</v>
      </c>
      <c r="C2">
        <v>70</v>
      </c>
      <c r="D2">
        <v>90</v>
      </c>
      <c r="E2">
        <f>AVERAGE(B2:D2)</f>
        <v>80</v>
      </c>
      <c r="F2" t="str" cm="1">
        <f t="array" ref="F2:F6">_xlfn.IFS(E2:E6&gt;=80,"Excellent",60&lt;=E2:E6,"Good",E2:E6&lt;60,"Fall")</f>
        <v>Excellent</v>
      </c>
      <c r="G2">
        <f>_xlfn.XLOOKUP("Charlie",A2:A6,B2:B6)</f>
        <v>90</v>
      </c>
    </row>
    <row r="3" spans="1:7" x14ac:dyDescent="0.25">
      <c r="A3" t="s">
        <v>30</v>
      </c>
      <c r="B3">
        <v>60</v>
      </c>
      <c r="C3">
        <v>50</v>
      </c>
      <c r="D3">
        <v>70</v>
      </c>
      <c r="E3">
        <f t="shared" ref="E3:E6" si="0">AVERAGE(B3:D3)</f>
        <v>60</v>
      </c>
      <c r="F3" t="str">
        <v>Good</v>
      </c>
    </row>
    <row r="4" spans="1:7" x14ac:dyDescent="0.25">
      <c r="A4" t="s">
        <v>31</v>
      </c>
      <c r="B4">
        <v>90</v>
      </c>
      <c r="C4">
        <v>85</v>
      </c>
      <c r="D4">
        <v>95</v>
      </c>
      <c r="E4">
        <f t="shared" si="0"/>
        <v>90</v>
      </c>
      <c r="F4" t="str">
        <v>Excellent</v>
      </c>
      <c r="G4">
        <f>SUMIFS(B2:B6,B2:B6,"&gt;70")</f>
        <v>245</v>
      </c>
    </row>
    <row r="5" spans="1:7" x14ac:dyDescent="0.25">
      <c r="A5" t="s">
        <v>32</v>
      </c>
      <c r="B5">
        <v>40</v>
      </c>
      <c r="C5">
        <v>55</v>
      </c>
      <c r="D5">
        <v>30</v>
      </c>
      <c r="E5">
        <f t="shared" si="0"/>
        <v>41.666666666666664</v>
      </c>
      <c r="F5" t="str">
        <v>Fall</v>
      </c>
      <c r="G5">
        <f>AVERAGEIF(_xlfn.ANCHORARRAY(F2),"Good",C2:C6)</f>
        <v>65</v>
      </c>
    </row>
    <row r="6" spans="1:7" x14ac:dyDescent="0.25">
      <c r="A6" t="s">
        <v>33</v>
      </c>
      <c r="B6">
        <v>75</v>
      </c>
      <c r="C6">
        <v>80</v>
      </c>
      <c r="D6">
        <v>65</v>
      </c>
      <c r="E6">
        <f t="shared" si="0"/>
        <v>73.333333333333329</v>
      </c>
      <c r="F6" t="str">
        <v>Good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On Kien Thuc Cu</vt:lpstr>
      <vt:lpstr>Kien Thuc Moi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Tri</cp:lastModifiedBy>
  <dcterms:created xsi:type="dcterms:W3CDTF">2025-11-09T12:53:37Z</dcterms:created>
  <dcterms:modified xsi:type="dcterms:W3CDTF">2025-11-09T13:25:33Z</dcterms:modified>
</cp:coreProperties>
</file>